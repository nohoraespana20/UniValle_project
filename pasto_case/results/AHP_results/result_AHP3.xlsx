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Nohora\UniValle_project\pasto_case\results\AHP_results\"/>
    </mc:Choice>
  </mc:AlternateContent>
  <xr:revisionPtr revIDLastSave="0" documentId="13_ncr:1_{06575E81-CFA1-426E-A7BC-2137BE5A8D9E}" xr6:coauthVersionLast="47" xr6:coauthVersionMax="47" xr10:uidLastSave="{00000000-0000-0000-0000-000000000000}"/>
  <bookViews>
    <workbookView xWindow="-285" yWindow="252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C10" i="1"/>
  <c r="D10" i="1"/>
  <c r="E10" i="1"/>
  <c r="B10" i="1"/>
</calcChain>
</file>

<file path=xl/sharedStrings.xml><?xml version="1.0" encoding="utf-8"?>
<sst xmlns="http://schemas.openxmlformats.org/spreadsheetml/2006/main" count="15" uniqueCount="15">
  <si>
    <t>Alternative</t>
  </si>
  <si>
    <t>Availability Factor</t>
  </si>
  <si>
    <t>Driving Range</t>
  </si>
  <si>
    <t>Accumulated Cost</t>
  </si>
  <si>
    <t>Incentives</t>
  </si>
  <si>
    <t>Emissions</t>
  </si>
  <si>
    <t>Sum</t>
  </si>
  <si>
    <t>ICE</t>
  </si>
  <si>
    <t>EVL1</t>
  </si>
  <si>
    <t>EVL2</t>
  </si>
  <si>
    <t>EVL3</t>
  </si>
  <si>
    <t>CNG</t>
  </si>
  <si>
    <t>PHEVL1</t>
  </si>
  <si>
    <t>PHEVL2</t>
  </si>
  <si>
    <t>PHEVL3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</si>
</sst>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sqref="A1:G9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1" t="s">
        <v>7</v>
      </c>
      <c r="B2">
        <v>3.5999999999999997E-2</v>
      </c>
      <c r="C2">
        <v>0.02</v>
      </c>
      <c r="D2">
        <v>3.0000000000000001E-3</v>
      </c>
      <c r="E2">
        <v>0</v>
      </c>
      <c r="F2">
        <v>0</v>
      </c>
      <c r="G2">
        <v>5.8999999999999997E-2</v>
      </c>
    </row>
    <row r="3" spans="1:8" x14ac:dyDescent="0.25">
      <c r="A3" s="1" t="s">
        <v>8</v>
      </c>
      <c r="B3">
        <v>1.7999999999999999E-2</v>
      </c>
      <c r="C3">
        <v>1.4E-2</v>
      </c>
      <c r="D3">
        <v>0.01</v>
      </c>
      <c r="E3">
        <v>6.0000000000000001E-3</v>
      </c>
      <c r="F3">
        <v>6.6000000000000003E-2</v>
      </c>
      <c r="G3">
        <v>0.114</v>
      </c>
    </row>
    <row r="4" spans="1:8" x14ac:dyDescent="0.25">
      <c r="A4" s="1" t="s">
        <v>9</v>
      </c>
      <c r="B4">
        <v>3.4000000000000002E-2</v>
      </c>
      <c r="C4">
        <v>1.4E-2</v>
      </c>
      <c r="D4">
        <v>0.01</v>
      </c>
      <c r="E4">
        <v>6.0000000000000001E-3</v>
      </c>
      <c r="F4">
        <v>6.6000000000000003E-2</v>
      </c>
      <c r="G4">
        <v>0.13</v>
      </c>
    </row>
    <row r="5" spans="1:8" x14ac:dyDescent="0.25">
      <c r="A5" s="1" t="s">
        <v>10</v>
      </c>
      <c r="B5">
        <v>3.5000000000000003E-2</v>
      </c>
      <c r="C5">
        <v>1.4E-2</v>
      </c>
      <c r="D5">
        <v>8.9999999999999993E-3</v>
      </c>
      <c r="E5">
        <v>6.0000000000000001E-3</v>
      </c>
      <c r="F5">
        <v>6.6000000000000003E-2</v>
      </c>
      <c r="G5">
        <v>0.13</v>
      </c>
    </row>
    <row r="6" spans="1:8" x14ac:dyDescent="0.25">
      <c r="A6" s="1" t="s">
        <v>11</v>
      </c>
      <c r="B6">
        <v>3.3000000000000002E-2</v>
      </c>
      <c r="C6">
        <v>1.2999999999999999E-2</v>
      </c>
      <c r="D6">
        <v>2.4E-2</v>
      </c>
      <c r="E6">
        <v>3.0000000000000001E-3</v>
      </c>
      <c r="F6">
        <v>0</v>
      </c>
      <c r="G6">
        <v>7.3000000000000009E-2</v>
      </c>
    </row>
    <row r="7" spans="1:8" x14ac:dyDescent="0.25">
      <c r="A7" s="1" t="s">
        <v>12</v>
      </c>
      <c r="B7">
        <v>3.3000000000000002E-2</v>
      </c>
      <c r="C7">
        <v>0.02</v>
      </c>
      <c r="D7">
        <v>4.0000000000000001E-3</v>
      </c>
      <c r="E7">
        <v>5.0000000000000001E-3</v>
      </c>
      <c r="F7">
        <v>0.10199999999999999</v>
      </c>
      <c r="G7">
        <v>0.16400000000000001</v>
      </c>
    </row>
    <row r="8" spans="1:8" x14ac:dyDescent="0.25">
      <c r="A8" s="1" t="s">
        <v>13</v>
      </c>
      <c r="B8">
        <v>3.5000000000000003E-2</v>
      </c>
      <c r="C8">
        <v>0.02</v>
      </c>
      <c r="D8">
        <v>4.0000000000000001E-3</v>
      </c>
      <c r="E8">
        <v>5.0000000000000001E-3</v>
      </c>
      <c r="F8">
        <v>0.10199999999999999</v>
      </c>
      <c r="G8">
        <v>0.16600000000000001</v>
      </c>
    </row>
    <row r="9" spans="1:8" x14ac:dyDescent="0.25">
      <c r="A9" s="1" t="s">
        <v>14</v>
      </c>
      <c r="B9">
        <v>3.5999999999999997E-2</v>
      </c>
      <c r="C9">
        <v>0.02</v>
      </c>
      <c r="D9">
        <v>4.0000000000000001E-3</v>
      </c>
      <c r="E9">
        <v>5.0000000000000001E-3</v>
      </c>
      <c r="F9">
        <v>0.10199999999999999</v>
      </c>
      <c r="G9">
        <v>0.16700000000000001</v>
      </c>
    </row>
    <row r="10" spans="1:8" x14ac:dyDescent="0.25">
      <c r="B10">
        <f>MAX(B2:B9)</f>
        <v>3.5999999999999997E-2</v>
      </c>
      <c r="C10">
        <f t="shared" ref="C10:F10" si="0">MAX(C2:C9)</f>
        <v>0.02</v>
      </c>
      <c r="D10">
        <f t="shared" si="0"/>
        <v>2.4E-2</v>
      </c>
      <c r="E10">
        <f t="shared" si="0"/>
        <v>6.0000000000000001E-3</v>
      </c>
      <c r="F10">
        <v>0.12</v>
      </c>
    </row>
    <row r="11" spans="1:8" x14ac:dyDescent="0.25">
      <c r="F11">
        <f>F10/4</f>
        <v>0.03</v>
      </c>
      <c r="G11">
        <f>F11*2</f>
        <v>0.06</v>
      </c>
      <c r="H11">
        <f>F11*3</f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2024-12-07T02:02:53Z</dcterms:created>
  <dcterms:modified xsi:type="dcterms:W3CDTF">2024-12-07T02:11:51Z</dcterms:modified>
</cp:coreProperties>
</file>